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b6c9564718606/Documents/STUDY/PROMETEO/PROYECTOS INTERMODULAR/Planificacion y Administracion de Redes/"/>
    </mc:Choice>
  </mc:AlternateContent>
  <xr:revisionPtr revIDLastSave="460" documentId="8_{E253F6EC-50CF-476B-9055-1DD380635F27}" xr6:coauthVersionLast="47" xr6:coauthVersionMax="47" xr10:uidLastSave="{A4A2C3FC-8E18-4D78-9315-1FE6258E0F1A}"/>
  <bookViews>
    <workbookView xWindow="28680" yWindow="-120" windowWidth="29040" windowHeight="15720" activeTab="2" xr2:uid="{D4715BBB-8290-42D9-9FB7-7D0B6D1C6C05}"/>
  </bookViews>
  <sheets>
    <sheet name="División interna" sheetId="2" r:id="rId1"/>
    <sheet name="Bitacora de Comandos" sheetId="7" state="hidden" r:id="rId2"/>
    <sheet name="REDES" sheetId="4" r:id="rId3"/>
    <sheet name="TIPO DEPARTAMENTO" sheetId="5" r:id="rId4"/>
  </sheets>
  <definedNames>
    <definedName name="SegmentaciónDeDatos_DEPARTAMENT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D14" i="5"/>
  <c r="D13" i="5"/>
  <c r="A2" i="2" a="1"/>
  <c r="A2" i="2" s="1"/>
  <c r="F6" i="2" l="1"/>
  <c r="E17" i="2" l="1"/>
  <c r="G15" i="2"/>
  <c r="G12" i="2"/>
  <c r="F12" i="2"/>
  <c r="G9" i="2"/>
  <c r="F15" i="2"/>
  <c r="E15" i="2"/>
  <c r="F9" i="2"/>
  <c r="E6" i="2"/>
  <c r="G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<sst xmlns="http://schemas.openxmlformats.org/spreadsheetml/2006/main" count="241" uniqueCount="180">
  <si>
    <t>RED</t>
  </si>
  <si>
    <t>Recepcion</t>
  </si>
  <si>
    <t>Reportering</t>
  </si>
  <si>
    <t>CRM</t>
  </si>
  <si>
    <t>Base de Datos</t>
  </si>
  <si>
    <t>DHCP</t>
  </si>
  <si>
    <t>Broadcast</t>
  </si>
  <si>
    <t>VLAN 10</t>
  </si>
  <si>
    <t>192.168.10.0</t>
  </si>
  <si>
    <t>Mascara de subred</t>
  </si>
  <si>
    <t>Direccion de red</t>
  </si>
  <si>
    <t>Primer Host</t>
  </si>
  <si>
    <t>Ultimos Host</t>
  </si>
  <si>
    <t>Host Utiles</t>
  </si>
  <si>
    <t>Todas las direcciones</t>
  </si>
  <si>
    <t>255.255.255.0</t>
  </si>
  <si>
    <t>192.168.10.1</t>
  </si>
  <si>
    <t>192.168.10.254</t>
  </si>
  <si>
    <t>192.168.10.255</t>
  </si>
  <si>
    <t>ADMINISTRACION</t>
  </si>
  <si>
    <t>192.168.10.0/24</t>
  </si>
  <si>
    <t>DEPARTAMENTO</t>
  </si>
  <si>
    <t>TIPO VLAN</t>
  </si>
  <si>
    <t>DIRECCION</t>
  </si>
  <si>
    <t>192.168.20.0/24</t>
  </si>
  <si>
    <t>VLAN 20</t>
  </si>
  <si>
    <t>192.168.20.0</t>
  </si>
  <si>
    <t>192.168.20.1</t>
  </si>
  <si>
    <t>DESARROLLO</t>
  </si>
  <si>
    <t>192.168.30.0/24</t>
  </si>
  <si>
    <t>VLAN 30</t>
  </si>
  <si>
    <t>192.168.30.0</t>
  </si>
  <si>
    <t>192.168.30.1</t>
  </si>
  <si>
    <t>192.168.30.254</t>
  </si>
  <si>
    <t>192.168.30.255</t>
  </si>
  <si>
    <t>192.168.20.254</t>
  </si>
  <si>
    <t>192.168.20.255</t>
  </si>
  <si>
    <t>SOPORTE TECNICO</t>
  </si>
  <si>
    <t>192.168.40.0/24</t>
  </si>
  <si>
    <t>FORMACION</t>
  </si>
  <si>
    <t>192.168.50.0/24</t>
  </si>
  <si>
    <t>VLAN 40</t>
  </si>
  <si>
    <t>VLAN 50</t>
  </si>
  <si>
    <t>VLAN 60</t>
  </si>
  <si>
    <t>VLAN 99</t>
  </si>
  <si>
    <t>192.168.40.0</t>
  </si>
  <si>
    <t>192.168.50.0</t>
  </si>
  <si>
    <t>192.168.60.0</t>
  </si>
  <si>
    <t>192.168.99.0</t>
  </si>
  <si>
    <t>192.168.40.1</t>
  </si>
  <si>
    <t>192.168.50.1</t>
  </si>
  <si>
    <t>192.168.60.1</t>
  </si>
  <si>
    <t>192.168.99.1</t>
  </si>
  <si>
    <t>192.168.40.254</t>
  </si>
  <si>
    <t>192.168.50.254</t>
  </si>
  <si>
    <t>192.168.60.254</t>
  </si>
  <si>
    <t>192.168.99.254</t>
  </si>
  <si>
    <t>192.168.40.255</t>
  </si>
  <si>
    <t>192.168.50.255</t>
  </si>
  <si>
    <t>192.168.60.255</t>
  </si>
  <si>
    <t>192.168.99.255</t>
  </si>
  <si>
    <t>SERVIDORES</t>
  </si>
  <si>
    <t>GESTION</t>
  </si>
  <si>
    <t>Recursos humanos</t>
  </si>
  <si>
    <t>SUB-DEPARTAMENTO</t>
  </si>
  <si>
    <t>Nº PERSONAL</t>
  </si>
  <si>
    <t>Gerencia</t>
  </si>
  <si>
    <t>Secretaria</t>
  </si>
  <si>
    <t>Programacion</t>
  </si>
  <si>
    <t>Help desk</t>
  </si>
  <si>
    <t>Administración de RED (Gestion)</t>
  </si>
  <si>
    <t>Total general</t>
  </si>
  <si>
    <t>NºPERSONAL</t>
  </si>
  <si>
    <t>PRUEBA</t>
  </si>
  <si>
    <t>SUB-DEPARTAMENTO/</t>
  </si>
  <si>
    <t>La segmentación en VLANs se ha realizado en función de la estructura organizativa de la empresa, separando los departamentos para mejorar la seguridad, reducir el tráfico de broadcast y optimizar el rendimiento de la red.</t>
  </si>
  <si>
    <t>PLANTA</t>
  </si>
  <si>
    <t>PLANTA 1</t>
  </si>
  <si>
    <t>PLANTA 2</t>
  </si>
  <si>
    <t>Análisis de la Infraestructura de Red y 
Distribución de VLANs por Departamento</t>
  </si>
  <si>
    <t>Capacitación</t>
  </si>
  <si>
    <t>Training</t>
  </si>
  <si>
    <t>Proyecto Prometeo · ASIR</t>
  </si>
  <si>
    <t>Biblioteca de comandos — VLAN + Inter-VLAN</t>
  </si>
  <si>
    <t>enable</t>
  </si>
  <si>
    <t>configure terminal</t>
  </si>
  <si>
    <t>hostname CORE</t>
  </si>
  <si>
    <t>exit</t>
  </si>
  <si>
    <t>vlan 10</t>
  </si>
  <si>
    <t>vlan 20</t>
  </si>
  <si>
    <t>vlan 30</t>
  </si>
  <si>
    <t>vlan 40</t>
  </si>
  <si>
    <t>vlan 50</t>
  </si>
  <si>
    <t>vlan 60</t>
  </si>
  <si>
    <t>vlan 99</t>
  </si>
  <si>
    <t>interface fa0/1</t>
  </si>
  <si>
    <t>interface g0/1</t>
  </si>
  <si>
    <t>interface g0/1.10</t>
  </si>
  <si>
    <t>interface g0/1.20</t>
  </si>
  <si>
    <t>interface g0/1.30</t>
  </si>
  <si>
    <t>interface g0/1.40</t>
  </si>
  <si>
    <t>interface g0/1.50</t>
  </si>
  <si>
    <t>interface g0/1.60</t>
  </si>
  <si>
    <t>interface g0/1.99</t>
  </si>
  <si>
    <t>show ip interface brief</t>
  </si>
  <si>
    <t>ping 192.168.10.1</t>
  </si>
  <si>
    <t>ping 192.168.20.1</t>
  </si>
  <si>
    <t>ping 192.168.99.1</t>
  </si>
  <si>
    <t>write memory</t>
  </si>
  <si>
    <t>copy running-config startup-config</t>
  </si>
  <si>
    <t>show running-config</t>
  </si>
  <si>
    <t>show ip route</t>
  </si>
  <si>
    <t>show interfaces</t>
  </si>
  <si>
    <t>1. Acceso y configuración básica</t>
  </si>
  <si>
    <t>2. Creación de VLANs (en switches)</t>
  </si>
  <si>
    <t>3. Asignación de puertos a VLAN (modo access)</t>
  </si>
  <si>
    <t>4. Configuración de enlaces troncales (trunk)</t>
  </si>
  <si>
    <t>5. Verificación en switches</t>
  </si>
  <si>
    <t>6. Configuración del router (Router-on-a-Stick)</t>
  </si>
  <si>
    <t>Activar interfaz física:</t>
  </si>
  <si>
    <t>Subinterfaces por VLAN:</t>
  </si>
  <si>
    <t>name ADMINISTRACION</t>
  </si>
  <si>
    <t>name DIRECCION</t>
  </si>
  <si>
    <t>name DESARROLLO</t>
  </si>
  <si>
    <t>name SOPORTE</t>
  </si>
  <si>
    <t>name FORMACION</t>
  </si>
  <si>
    <t>name SERVIDORES</t>
  </si>
  <si>
    <t>name GESTION</t>
  </si>
  <si>
    <t>switchport mode access</t>
  </si>
  <si>
    <t>switchport access vlan 10</t>
  </si>
  <si>
    <t>switchport mode trunk</t>
  </si>
  <si>
    <t>switchport trunk allowed vlan 10,20,30,40,50,60,99</t>
  </si>
  <si>
    <t>show vlan brief</t>
  </si>
  <si>
    <t>show interfaces trunk</t>
  </si>
  <si>
    <t>show interface status</t>
  </si>
  <si>
    <t>no shutdown</t>
  </si>
  <si>
    <t>encapsulation dot1Q 10</t>
  </si>
  <si>
    <t>ip address 192.168.10.1 255.255.255.0</t>
  </si>
  <si>
    <t>encapsulation dot1Q 20</t>
  </si>
  <si>
    <t>ip address 192.168.20.1 255.255.255.0</t>
  </si>
  <si>
    <t>encapsulation dot1Q 30</t>
  </si>
  <si>
    <t>ip address 192.168.30.1 255.255.255.0</t>
  </si>
  <si>
    <t>encapsulation dot1Q 40</t>
  </si>
  <si>
    <t>ip address 192.168.40.1 255.255.255.0</t>
  </si>
  <si>
    <t>encapsulation dot1Q 50</t>
  </si>
  <si>
    <t>ip address 192.168.50.1 255.255.255.0</t>
  </si>
  <si>
    <t>encapsulation dot1Q 60</t>
  </si>
  <si>
    <t>ip address 192.168.60.1 255.255.255.0</t>
  </si>
  <si>
    <t>encapsulation dot1Q 99</t>
  </si>
  <si>
    <t>ip address 192.168.99.1 255.255.255.0</t>
  </si>
  <si>
    <t>7. Verificación en router</t>
  </si>
  <si>
    <t>8. Pruebas de conectividad</t>
  </si>
  <si>
    <t>9. Guardar configuración</t>
  </si>
  <si>
    <t>10. Comandos de diagnóstico (clave en el proyecto)</t>
  </si>
  <si>
    <t>192.168.60.0/24</t>
  </si>
  <si>
    <t>192.168.99.0/24</t>
  </si>
  <si>
    <t>CARTERA</t>
  </si>
  <si>
    <t>VLAN 70</t>
  </si>
  <si>
    <t>VLAN 75</t>
  </si>
  <si>
    <t>192.168.70.0/24</t>
  </si>
  <si>
    <t>192.168.75.0/24</t>
  </si>
  <si>
    <t>192.168.80.0/24</t>
  </si>
  <si>
    <t>WIFI_EMPRESA</t>
  </si>
  <si>
    <t>WIFI_INVITADOS</t>
  </si>
  <si>
    <t>VLAN 80</t>
  </si>
  <si>
    <t>192.168.70.0</t>
  </si>
  <si>
    <t>192.168.75.0</t>
  </si>
  <si>
    <t>192.168.80.0</t>
  </si>
  <si>
    <t>192.168.70.1</t>
  </si>
  <si>
    <t>192.168.75.1</t>
  </si>
  <si>
    <t>192.168.80.1</t>
  </si>
  <si>
    <t>192.168.70.254</t>
  </si>
  <si>
    <t>192.168.75.254</t>
  </si>
  <si>
    <t>192.168.80.254</t>
  </si>
  <si>
    <t>192.168.70.255</t>
  </si>
  <si>
    <t>192.168.75.255</t>
  </si>
  <si>
    <t>192.168.80.255</t>
  </si>
  <si>
    <t>Supervisor-Agentes</t>
  </si>
  <si>
    <t>Wifi_Empresa</t>
  </si>
  <si>
    <t>Wifi_Invitados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</si>
</sst>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2"/>
      <name val="Segoe UI"/>
      <family val="2"/>
    </font>
    <font>
      <sz val="11"/>
      <color theme="0"/>
      <name val="Segoe UI"/>
      <family val="2"/>
    </font>
    <font>
      <b/>
      <sz val="11"/>
      <color theme="3"/>
      <name val="Segoe UI"/>
      <family val="2"/>
    </font>
    <font>
      <sz val="11"/>
      <color theme="1"/>
      <name val="Segoe UI"/>
    </font>
    <font>
      <b/>
      <sz val="12"/>
      <color rgb="FFFFFF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gradientFill degree="180">
        <stop position="0">
          <color theme="1" tint="0.49803155613879818"/>
        </stop>
        <stop position="1">
          <color theme="2"/>
        </stop>
      </gradient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" xfId="0" pivotButton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4" borderId="11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0" fillId="0" borderId="14" xfId="0" applyBorder="1"/>
    <xf numFmtId="0" fontId="7" fillId="4" borderId="14" xfId="0" applyFont="1" applyFill="1" applyBorder="1" applyAlignment="1">
      <alignment vertical="center" wrapText="1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6" fillId="0" borderId="11" xfId="0" applyFont="1" applyBorder="1"/>
    <xf numFmtId="0" fontId="6" fillId="0" borderId="14" xfId="0" applyFont="1" applyBorder="1"/>
    <xf numFmtId="0" fontId="6" fillId="0" borderId="15" xfId="0" applyFont="1" applyBorder="1"/>
    <xf numFmtId="0" fontId="0" fillId="6" borderId="0" xfId="0" applyFill="1"/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1">
    <cellStyle name="Normal" xfId="0" builtinId="0"/>
  </cellStyles>
  <dxfs count="16"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91775</xdr:colOff>
      <xdr:row>6</xdr:row>
      <xdr:rowOff>22412</xdr:rowOff>
    </xdr:from>
    <xdr:to>
      <xdr:col>4</xdr:col>
      <xdr:colOff>1465840</xdr:colOff>
      <xdr:row>12</xdr:row>
      <xdr:rowOff>173579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11ADADEF-11E1-D1F5-8E47-EE6C58DFDA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85" y="1381237"/>
              <a:ext cx="3767641" cy="1551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627081</xdr:colOff>
      <xdr:row>0</xdr:row>
      <xdr:rowOff>0</xdr:rowOff>
    </xdr:from>
    <xdr:to>
      <xdr:col>3</xdr:col>
      <xdr:colOff>552674</xdr:colOff>
      <xdr:row>6</xdr:row>
      <xdr:rowOff>19410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BC1BAA-AD89-CF3F-42B4-9C3ED3842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328" t="14479" r="30622" b="17497"/>
        <a:stretch>
          <a:fillRect/>
        </a:stretch>
      </xdr:blipFill>
      <xdr:spPr>
        <a:xfrm>
          <a:off x="627081" y="0"/>
          <a:ext cx="1520638" cy="1345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9</xdr:col>
      <xdr:colOff>198120</xdr:colOff>
      <xdr:row>30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318573-2590-8891-A27A-3A711876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2540" y="3474720"/>
          <a:ext cx="3893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7.972971875002" createdVersion="8" refreshedVersion="8" minRefreshableVersion="3" recordCount="16" xr:uid="{5E69C38B-7297-4414-9DEE-24E395B0CFF4}">
  <cacheSource type="worksheet">
    <worksheetSource ref="A1:C17" sheet="TIPO DEPARTAMENTO"/>
  </cacheSource>
  <cacheFields count="3">
    <cacheField name="DEPARTAMENTO" numFmtId="0">
      <sharedItems count="10">
        <s v="ADMINISTRACION"/>
        <s v="DIRECCION"/>
        <s v="DESARROLLO"/>
        <s v="SOPORTE TECNICO"/>
        <s v="FORMACION"/>
        <s v="SERVIDORES"/>
        <s v="CARTERA"/>
        <s v="WIFI_EMPRESA"/>
        <s v="WIFI_INVITADOS"/>
        <s v="GESTION"/>
      </sharedItems>
    </cacheField>
    <cacheField name="SUB-DEPARTAMENTO/" numFmtId="0">
      <sharedItems count="17">
        <s v="Recursos humanos"/>
        <s v="Reportering"/>
        <s v="Recepcion"/>
        <s v="Gerencia"/>
        <s v="Secretaria"/>
        <s v="CRM"/>
        <s v="Programacion"/>
        <s v="Help desk"/>
        <s v="Capacitación"/>
        <s v="Training"/>
        <s v="Base de Datos"/>
        <s v="Supervisor-Agentes"/>
        <s v="Wifi_Empresa"/>
        <s v="Wifi_Invitados"/>
        <s v="DHCP"/>
        <s v="Administración de RED (Gestion)"/>
        <s v="Wifi" u="1"/>
      </sharedItems>
    </cacheField>
    <cacheField name="Nº PERSONAL" numFmtId="0">
      <sharedItems containsString="0" containsBlank="1" containsNumber="1" containsInteger="1" minValue="1" maxValue="35"/>
    </cacheField>
  </cacheFields>
  <extLst>
    <ext xmlns:x14="http://schemas.microsoft.com/office/spreadsheetml/2009/9/main" uri="{725AE2AE-9491-48be-B2B4-4EB974FC3084}">
      <x14:pivotCacheDefinition pivotCacheId="619915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4"/>
  </r>
  <r>
    <x v="0"/>
    <x v="1"/>
    <n v="3"/>
  </r>
  <r>
    <x v="0"/>
    <x v="2"/>
    <n v="1"/>
  </r>
  <r>
    <x v="1"/>
    <x v="3"/>
    <n v="1"/>
  </r>
  <r>
    <x v="1"/>
    <x v="4"/>
    <n v="1"/>
  </r>
  <r>
    <x v="2"/>
    <x v="5"/>
    <n v="1"/>
  </r>
  <r>
    <x v="2"/>
    <x v="6"/>
    <n v="1"/>
  </r>
  <r>
    <x v="3"/>
    <x v="7"/>
    <n v="4"/>
  </r>
  <r>
    <x v="4"/>
    <x v="8"/>
    <n v="1"/>
  </r>
  <r>
    <x v="4"/>
    <x v="9"/>
    <n v="1"/>
  </r>
  <r>
    <x v="5"/>
    <x v="10"/>
    <n v="1"/>
  </r>
  <r>
    <x v="6"/>
    <x v="11"/>
    <n v="35"/>
  </r>
  <r>
    <x v="7"/>
    <x v="12"/>
    <m/>
  </r>
  <r>
    <x v="8"/>
    <x v="13"/>
    <m/>
  </r>
  <r>
    <x v="5"/>
    <x v="14"/>
    <n v="1"/>
  </r>
  <r>
    <x v="9"/>
    <x v="15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3C118-641B-48F6-9238-DEDF95E5630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outline="1" outlineData="1" multipleFieldFilters="0" rowHeaderCaption="SUB-DEPARTAMENTO">
  <location ref="J4:K7" firstHeaderRow="1" firstDataRow="1" firstDataCol="1"/>
  <pivotFields count="3">
    <pivotField showAll="0">
      <items count="11">
        <item h="1" x="0"/>
        <item h="1" x="6"/>
        <item h="1" x="2"/>
        <item h="1" x="1"/>
        <item h="1" x="4"/>
        <item h="1" x="9"/>
        <item x="5"/>
        <item h="1" x="3"/>
        <item h="1" x="7"/>
        <item h="1" x="8"/>
        <item t="default"/>
      </items>
    </pivotField>
    <pivotField axis="axisRow" showAll="0" sortType="descending">
      <items count="18">
        <item x="15"/>
        <item x="10"/>
        <item x="8"/>
        <item x="5"/>
        <item x="14"/>
        <item x="3"/>
        <item x="7"/>
        <item x="6"/>
        <item x="2"/>
        <item x="0"/>
        <item x="1"/>
        <item x="4"/>
        <item x="9"/>
        <item x="11"/>
        <item m="1" x="16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NºPERSONAL" fld="2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">
            <x v="6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">
            <x v="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DEAAC816-2625-4D98-BFEA-03D4EBB8F586}" sourceName="DEPARTAMENTO">
  <pivotTables>
    <pivotTable tabId="2" name="TablaDinámica1"/>
  </pivotTables>
  <data>
    <tabular pivotCacheId="619915734">
      <items count="10">
        <i x="0"/>
        <i x="6"/>
        <i x="2"/>
        <i x="1"/>
        <i x="4"/>
        <i x="9"/>
        <i x="5" s="1"/>
        <i x="3"/>
        <i x="7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3B02EE6B-171A-493D-AB79-F503DE489575}" cache="SegmentaciónDeDatos_DEPARTAMENTO" caption="DEPARTAMENTO" columnCount="3" style="SlicerStyleOther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71E7-AA5E-4971-B5E8-36833F503214}">
  <sheetPr>
    <tabColor theme="9"/>
  </sheetPr>
  <dimension ref="A1:L49"/>
  <sheetViews>
    <sheetView showGridLines="0" showRowColHeaders="0" topLeftCell="B1" zoomScale="85" zoomScaleNormal="85" workbookViewId="0">
      <selection activeCell="J5" sqref="J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.8" zeroHeight="1" x14ac:dyDescent="0.4"/>
  <cols>
    <col min="1" max="1" width="18.21875" style="1" hidden="1" customWidth="1"/>
    <col min="2" max="4" width="11.6640625" style="1" customWidth="1"/>
    <col min="5" max="5" width="21.88671875" style="1" bestFit="1" customWidth="1"/>
    <col min="6" max="6" width="19.5546875" style="1" bestFit="1" customWidth="1"/>
    <col min="7" max="7" width="21.88671875" style="1" bestFit="1" customWidth="1"/>
    <col min="8" max="9" width="11.6640625" style="1" customWidth="1"/>
    <col min="10" max="10" width="26" style="1" bestFit="1" customWidth="1"/>
    <col min="11" max="11" width="13" style="1" bestFit="1" customWidth="1"/>
    <col min="12" max="12" width="11.6640625" style="1" customWidth="1"/>
    <col min="13" max="16384" width="11.6640625" style="1" hidden="1"/>
  </cols>
  <sheetData>
    <row r="1" spans="1:12" ht="17.399999999999999" thickTop="1" x14ac:dyDescent="0.4">
      <c r="A1" s="16" t="s">
        <v>73</v>
      </c>
      <c r="B1" s="13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4">
      <c r="A2" s="17" t="str" cm="1">
        <f t="array" ref="A2:A41">+IFERROR(VLOOKUP(J2:J41,'TIPO DEPARTAMENTO'!$B$1:$D$17,3,0),"")</f>
        <v/>
      </c>
      <c r="B2" s="14"/>
      <c r="C2" s="8"/>
      <c r="D2" s="8"/>
      <c r="E2" s="34" t="s">
        <v>79</v>
      </c>
      <c r="F2" s="35"/>
      <c r="G2" s="35"/>
      <c r="H2" s="35"/>
      <c r="I2" s="9"/>
      <c r="J2" s="9"/>
      <c r="K2" s="9"/>
      <c r="L2" s="10"/>
    </row>
    <row r="3" spans="1:12" ht="17.399999999999999" thickBot="1" x14ac:dyDescent="0.45">
      <c r="A3" s="17" t="str">
        <v/>
      </c>
      <c r="B3" s="14"/>
      <c r="C3" s="8"/>
      <c r="D3" s="8"/>
      <c r="E3" s="36"/>
      <c r="F3" s="35"/>
      <c r="G3" s="35"/>
      <c r="H3" s="35"/>
      <c r="I3" s="8"/>
      <c r="J3" s="8"/>
      <c r="K3" s="8"/>
      <c r="L3" s="10"/>
    </row>
    <row r="4" spans="1:12" ht="18" thickTop="1" thickBot="1" x14ac:dyDescent="0.45">
      <c r="A4" s="17" t="str">
        <v/>
      </c>
      <c r="B4" s="14"/>
      <c r="C4" s="8"/>
      <c r="D4" s="8"/>
      <c r="E4" s="8"/>
      <c r="F4" s="8"/>
      <c r="G4" s="8"/>
      <c r="H4" s="8"/>
      <c r="I4" s="8"/>
      <c r="J4" s="21" t="s">
        <v>64</v>
      </c>
      <c r="K4" s="23" t="s">
        <v>72</v>
      </c>
      <c r="L4" s="10"/>
    </row>
    <row r="5" spans="1:12" ht="18" thickTop="1" thickBot="1" x14ac:dyDescent="0.45">
      <c r="A5" s="17" t="str">
        <v>SERVIDORES</v>
      </c>
      <c r="B5" s="14"/>
      <c r="C5" s="8"/>
      <c r="D5" s="8"/>
      <c r="E5" s="5" t="s">
        <v>22</v>
      </c>
      <c r="F5" s="5" t="s">
        <v>21</v>
      </c>
      <c r="G5" s="5" t="s">
        <v>0</v>
      </c>
      <c r="H5" s="8"/>
      <c r="I5" s="8"/>
      <c r="J5" s="20" t="s">
        <v>5</v>
      </c>
      <c r="K5" s="30">
        <v>1</v>
      </c>
      <c r="L5" s="10"/>
    </row>
    <row r="6" spans="1:12" ht="18" thickTop="1" thickBot="1" x14ac:dyDescent="0.45">
      <c r="A6" s="17" t="str">
        <v>SERVIDORES</v>
      </c>
      <c r="B6" s="14"/>
      <c r="C6" s="8"/>
      <c r="D6" s="8"/>
      <c r="E6" s="3" t="str">
        <f>+IFERROR(VLOOKUP(F6,REDES!$A:$K,4,0),0)</f>
        <v>VLAN 60</v>
      </c>
      <c r="F6" s="2" t="str">
        <f>+A5</f>
        <v>SERVIDORES</v>
      </c>
      <c r="G6" s="3" t="str">
        <f>+IFERROR(VLOOKUP(F6,REDES!$A:$K,2,0),0)</f>
        <v>192.168.60.0/24</v>
      </c>
      <c r="H6" s="8"/>
      <c r="I6" s="8"/>
      <c r="J6" s="20" t="s">
        <v>4</v>
      </c>
      <c r="K6" s="31">
        <v>1</v>
      </c>
      <c r="L6" s="10"/>
    </row>
    <row r="7" spans="1:12" ht="18" thickTop="1" thickBot="1" x14ac:dyDescent="0.45">
      <c r="A7" s="17" t="str">
        <v/>
      </c>
      <c r="B7" s="14"/>
      <c r="C7" s="8"/>
      <c r="D7" s="8"/>
      <c r="E7" s="8"/>
      <c r="F7" s="8"/>
      <c r="G7" s="8"/>
      <c r="H7" s="8"/>
      <c r="I7" s="8"/>
      <c r="J7" s="22" t="s">
        <v>71</v>
      </c>
      <c r="K7" s="32">
        <v>2</v>
      </c>
      <c r="L7" s="10"/>
    </row>
    <row r="8" spans="1:12" ht="18" thickTop="1" thickBot="1" x14ac:dyDescent="0.45">
      <c r="A8" s="17" t="str">
        <v/>
      </c>
      <c r="B8" s="14"/>
      <c r="C8" s="8"/>
      <c r="D8" s="8"/>
      <c r="E8" s="8"/>
      <c r="F8" s="5" t="s">
        <v>9</v>
      </c>
      <c r="G8" s="5" t="s">
        <v>10</v>
      </c>
      <c r="H8" s="8"/>
      <c r="I8" s="8"/>
      <c r="J8"/>
      <c r="K8"/>
      <c r="L8" s="10"/>
    </row>
    <row r="9" spans="1:12" ht="18" thickTop="1" thickBot="1" x14ac:dyDescent="0.45">
      <c r="A9" s="17" t="str">
        <v/>
      </c>
      <c r="B9" s="14"/>
      <c r="C9" s="8"/>
      <c r="D9" s="8"/>
      <c r="E9" s="8"/>
      <c r="F9" s="4" t="str">
        <f>+IFERROR(VLOOKUP(F6,REDES!$A:$K,5,0),0)</f>
        <v>255.255.255.0</v>
      </c>
      <c r="G9" s="4" t="str">
        <f>+IFERROR(VLOOKUP(F6,REDES!$A:$K,6,0),0)</f>
        <v>192.168.60.0</v>
      </c>
      <c r="H9" s="8"/>
      <c r="I9" s="8"/>
      <c r="J9"/>
      <c r="K9"/>
      <c r="L9" s="10"/>
    </row>
    <row r="10" spans="1:12" ht="18" thickTop="1" thickBot="1" x14ac:dyDescent="0.45">
      <c r="A10" s="17" t="str">
        <v/>
      </c>
      <c r="B10" s="14"/>
      <c r="C10" s="8"/>
      <c r="D10" s="8"/>
      <c r="E10" s="8"/>
      <c r="F10" s="8"/>
      <c r="G10" s="8"/>
      <c r="H10" s="8"/>
      <c r="I10" s="8"/>
      <c r="J10"/>
      <c r="K10"/>
      <c r="L10" s="10"/>
    </row>
    <row r="11" spans="1:12" ht="18" thickTop="1" thickBot="1" x14ac:dyDescent="0.45">
      <c r="A11" s="17" t="str">
        <v/>
      </c>
      <c r="B11" s="14"/>
      <c r="C11" s="8"/>
      <c r="D11" s="8"/>
      <c r="E11" s="8"/>
      <c r="F11" s="5" t="s">
        <v>11</v>
      </c>
      <c r="G11" s="5" t="s">
        <v>12</v>
      </c>
      <c r="H11" s="8"/>
      <c r="I11" s="8"/>
      <c r="J11"/>
      <c r="K11"/>
      <c r="L11" s="10"/>
    </row>
    <row r="12" spans="1:12" ht="18" thickTop="1" thickBot="1" x14ac:dyDescent="0.45">
      <c r="A12" s="17" t="str">
        <v/>
      </c>
      <c r="B12" s="14"/>
      <c r="C12" s="8"/>
      <c r="D12" s="8"/>
      <c r="E12" s="8"/>
      <c r="F12" s="4" t="str">
        <f>+IFERROR(VLOOKUP(F6,REDES!$A:$K,7,0),0)</f>
        <v>192.168.60.1</v>
      </c>
      <c r="G12" s="4" t="str">
        <f>+IFERROR(VLOOKUP(F6,REDES!$A:$K,8,0),0)</f>
        <v>192.168.60.254</v>
      </c>
      <c r="H12" s="8"/>
      <c r="I12" s="8"/>
      <c r="J12"/>
      <c r="K12"/>
      <c r="L12" s="10"/>
    </row>
    <row r="13" spans="1:12" ht="18" thickTop="1" thickBot="1" x14ac:dyDescent="0.45">
      <c r="A13" s="17" t="str">
        <v/>
      </c>
      <c r="B13" s="14"/>
      <c r="C13" s="8"/>
      <c r="D13" s="8"/>
      <c r="E13" s="8"/>
      <c r="F13" s="8"/>
      <c r="G13" s="8"/>
      <c r="H13" s="8"/>
      <c r="I13" s="8"/>
      <c r="J13"/>
      <c r="K13"/>
      <c r="L13" s="10"/>
    </row>
    <row r="14" spans="1:12" ht="18" thickTop="1" thickBot="1" x14ac:dyDescent="0.45">
      <c r="A14" s="17" t="str">
        <v/>
      </c>
      <c r="B14" s="14"/>
      <c r="C14" s="8"/>
      <c r="D14" s="8"/>
      <c r="E14" s="5" t="s">
        <v>6</v>
      </c>
      <c r="F14" s="5" t="s">
        <v>13</v>
      </c>
      <c r="G14" s="5" t="s">
        <v>14</v>
      </c>
      <c r="H14" s="8"/>
      <c r="I14" s="8"/>
      <c r="J14"/>
      <c r="K14"/>
      <c r="L14" s="10"/>
    </row>
    <row r="15" spans="1:12" ht="18" thickTop="1" thickBot="1" x14ac:dyDescent="0.45">
      <c r="A15" s="17" t="str">
        <v/>
      </c>
      <c r="B15" s="14"/>
      <c r="C15" s="8"/>
      <c r="D15" s="8"/>
      <c r="E15" s="4" t="str">
        <f>+IFERROR(VLOOKUP(F6,REDES!$A:$K,9,0),0)</f>
        <v>192.168.60.255</v>
      </c>
      <c r="F15" s="4">
        <f>+IFERROR(VLOOKUP(F6,REDES!$A:$K,10,0),0)</f>
        <v>254</v>
      </c>
      <c r="G15" s="4">
        <f>+IFERROR(VLOOKUP(F6,REDES!$A:$K,11,0),0)</f>
        <v>256</v>
      </c>
      <c r="H15" s="8"/>
      <c r="I15" s="8"/>
      <c r="J15"/>
      <c r="K15"/>
      <c r="L15" s="10"/>
    </row>
    <row r="16" spans="1:12" ht="18" thickTop="1" thickBot="1" x14ac:dyDescent="0.45">
      <c r="A16" s="17" t="str">
        <v/>
      </c>
      <c r="B16" s="14"/>
      <c r="C16" s="8"/>
      <c r="D16" s="8"/>
      <c r="E16" s="8"/>
      <c r="F16" s="8"/>
      <c r="G16" s="8"/>
      <c r="H16" s="8"/>
      <c r="I16" s="8"/>
      <c r="J16"/>
      <c r="K16"/>
      <c r="L16" s="10"/>
    </row>
    <row r="17" spans="1:12" ht="18" thickTop="1" thickBot="1" x14ac:dyDescent="0.45">
      <c r="A17" s="17" t="str">
        <v/>
      </c>
      <c r="B17" s="14"/>
      <c r="C17" s="8"/>
      <c r="D17" s="8"/>
      <c r="E17" s="46" t="str">
        <f>+IFERROR(VLOOKUP(F6,REDES!$A:$K,3,0),0)</f>
        <v>PLANTA 2</v>
      </c>
      <c r="F17" s="47"/>
      <c r="G17" s="48"/>
      <c r="H17" s="8"/>
      <c r="I17" s="8"/>
      <c r="J17"/>
      <c r="K17"/>
      <c r="L17" s="10"/>
    </row>
    <row r="18" spans="1:12" ht="18" thickTop="1" thickBot="1" x14ac:dyDescent="0.45">
      <c r="A18" s="18" t="str">
        <v/>
      </c>
      <c r="B18" s="14"/>
      <c r="C18" s="8"/>
      <c r="D18" s="8"/>
      <c r="E18" s="8"/>
      <c r="F18" s="8"/>
      <c r="G18" s="8"/>
      <c r="H18" s="8"/>
      <c r="I18" s="8"/>
      <c r="J18"/>
      <c r="K18"/>
      <c r="L18" s="10"/>
    </row>
    <row r="19" spans="1:12" ht="17.399999999999999" thickTop="1" x14ac:dyDescent="0.4">
      <c r="A19" s="18" t="str">
        <v/>
      </c>
      <c r="B19" s="14"/>
      <c r="C19" s="37" t="s">
        <v>75</v>
      </c>
      <c r="D19" s="38"/>
      <c r="E19" s="38"/>
      <c r="F19" s="38"/>
      <c r="G19" s="38"/>
      <c r="H19" s="38"/>
      <c r="I19" s="39"/>
      <c r="J19"/>
      <c r="K19"/>
      <c r="L19" s="10"/>
    </row>
    <row r="20" spans="1:12" ht="17.399999999999999" thickBot="1" x14ac:dyDescent="0.45">
      <c r="A20" s="18" t="str">
        <v/>
      </c>
      <c r="B20" s="14"/>
      <c r="C20" s="40"/>
      <c r="D20" s="41"/>
      <c r="E20" s="41"/>
      <c r="F20" s="41"/>
      <c r="G20" s="41"/>
      <c r="H20" s="41"/>
      <c r="I20" s="42"/>
      <c r="J20"/>
      <c r="K20"/>
      <c r="L20" s="10"/>
    </row>
    <row r="21" spans="1:12" ht="18" thickTop="1" thickBot="1" x14ac:dyDescent="0.45">
      <c r="A21" s="18" t="str">
        <v/>
      </c>
      <c r="B21" s="14"/>
      <c r="C21" s="40"/>
      <c r="D21" s="41"/>
      <c r="E21" s="41"/>
      <c r="F21" s="41"/>
      <c r="G21" s="41"/>
      <c r="H21" s="41"/>
      <c r="I21" s="42"/>
      <c r="J21"/>
      <c r="K21"/>
      <c r="L21" s="10"/>
    </row>
    <row r="22" spans="1:12" ht="18" thickTop="1" thickBot="1" x14ac:dyDescent="0.45">
      <c r="A22" s="18" t="str">
        <v/>
      </c>
      <c r="B22" s="14"/>
      <c r="C22" s="43"/>
      <c r="D22" s="44"/>
      <c r="E22" s="44"/>
      <c r="F22" s="44"/>
      <c r="G22" s="44"/>
      <c r="H22" s="44"/>
      <c r="I22" s="45"/>
      <c r="J22" s="8"/>
      <c r="K22" s="8"/>
      <c r="L22" s="10"/>
    </row>
    <row r="23" spans="1:12" ht="17.399999999999999" thickTop="1" x14ac:dyDescent="0.4">
      <c r="A23" s="18" t="str">
        <v/>
      </c>
      <c r="B23" s="14"/>
      <c r="C23" s="8"/>
      <c r="D23" s="8"/>
      <c r="E23" s="8"/>
      <c r="F23" s="8"/>
      <c r="G23" s="8"/>
      <c r="H23" s="8"/>
      <c r="I23" s="8"/>
      <c r="J23" s="8"/>
      <c r="K23" s="8"/>
      <c r="L23" s="10"/>
    </row>
    <row r="24" spans="1:12" x14ac:dyDescent="0.4">
      <c r="A24" s="18" t="str">
        <v/>
      </c>
      <c r="B24" s="14"/>
      <c r="C24" s="8"/>
      <c r="D24" s="8"/>
      <c r="E24" s="8"/>
      <c r="F24" s="8"/>
      <c r="G24" s="8"/>
      <c r="H24" s="8"/>
      <c r="I24" s="8"/>
      <c r="J24" s="8"/>
      <c r="K24" s="8"/>
      <c r="L24" s="10"/>
    </row>
    <row r="25" spans="1:12" hidden="1" x14ac:dyDescent="0.4">
      <c r="A25" s="18" t="str">
        <v/>
      </c>
      <c r="B25" s="14"/>
      <c r="C25" s="8"/>
      <c r="D25" s="8"/>
      <c r="E25" s="8"/>
      <c r="F25" s="8"/>
      <c r="G25" s="8"/>
      <c r="H25" s="8"/>
      <c r="I25" s="8"/>
      <c r="J25" s="8"/>
      <c r="K25" s="8"/>
      <c r="L25" s="10"/>
    </row>
    <row r="26" spans="1:12" hidden="1" x14ac:dyDescent="0.4">
      <c r="A26" s="18" t="str">
        <v/>
      </c>
      <c r="B26" s="14"/>
      <c r="C26" s="8"/>
      <c r="D26" s="8"/>
      <c r="E26" s="8"/>
      <c r="F26" s="8"/>
      <c r="G26" s="8"/>
      <c r="H26" s="8"/>
      <c r="I26" s="8"/>
      <c r="J26" s="8"/>
      <c r="K26" s="8"/>
      <c r="L26" s="10"/>
    </row>
    <row r="27" spans="1:12" hidden="1" x14ac:dyDescent="0.4">
      <c r="A27" s="18" t="str">
        <v/>
      </c>
      <c r="B27" s="14"/>
      <c r="C27" s="8"/>
      <c r="D27" s="8"/>
      <c r="E27" s="8"/>
      <c r="F27" s="8"/>
      <c r="G27" s="8"/>
      <c r="H27" s="8"/>
      <c r="I27" s="8"/>
      <c r="J27" s="8"/>
      <c r="K27" s="8"/>
      <c r="L27" s="10"/>
    </row>
    <row r="28" spans="1:12" hidden="1" x14ac:dyDescent="0.4">
      <c r="A28" s="18" t="str">
        <v/>
      </c>
      <c r="B28" s="14"/>
      <c r="C28" s="8"/>
      <c r="D28" s="8"/>
      <c r="E28" s="8"/>
      <c r="F28" s="8"/>
      <c r="G28" s="8"/>
      <c r="H28" s="8"/>
      <c r="I28" s="8"/>
      <c r="J28" s="8"/>
      <c r="K28" s="8"/>
      <c r="L28" s="10"/>
    </row>
    <row r="29" spans="1:12" hidden="1" x14ac:dyDescent="0.4">
      <c r="A29" s="18" t="str">
        <v/>
      </c>
      <c r="B29" s="14"/>
      <c r="C29" s="8"/>
      <c r="D29" s="8"/>
      <c r="E29" s="8"/>
      <c r="F29" s="8"/>
      <c r="G29" s="8"/>
      <c r="H29" s="8"/>
      <c r="I29" s="8"/>
      <c r="J29" s="8"/>
      <c r="K29" s="8"/>
      <c r="L29" s="10"/>
    </row>
    <row r="30" spans="1:12" hidden="1" x14ac:dyDescent="0.4">
      <c r="A30" s="18" t="str">
        <v/>
      </c>
      <c r="B30" s="14"/>
      <c r="C30" s="8"/>
      <c r="D30" s="8"/>
      <c r="E30" s="8"/>
      <c r="F30" s="8"/>
      <c r="G30" s="8"/>
      <c r="H30" s="8"/>
      <c r="I30" s="8"/>
      <c r="J30" s="8"/>
      <c r="K30" s="8"/>
      <c r="L30" s="10"/>
    </row>
    <row r="31" spans="1:12" hidden="1" x14ac:dyDescent="0.4">
      <c r="A31" s="18" t="str">
        <v/>
      </c>
      <c r="B31" s="14"/>
      <c r="C31" s="8"/>
      <c r="D31" s="8"/>
      <c r="E31" s="8"/>
      <c r="F31" s="8"/>
      <c r="G31" s="8"/>
      <c r="H31" s="8"/>
      <c r="I31" s="8"/>
      <c r="J31" s="8"/>
      <c r="K31" s="8"/>
      <c r="L31" s="10"/>
    </row>
    <row r="32" spans="1:12" hidden="1" x14ac:dyDescent="0.4">
      <c r="A32" s="18" t="str">
        <v/>
      </c>
      <c r="B32" s="14"/>
      <c r="C32" s="8"/>
      <c r="D32" s="8"/>
      <c r="E32" s="8"/>
      <c r="F32" s="8"/>
      <c r="G32" s="8"/>
      <c r="H32" s="8"/>
      <c r="I32" s="8"/>
      <c r="J32" s="8"/>
      <c r="K32" s="8"/>
      <c r="L32" s="10"/>
    </row>
    <row r="33" spans="1:12" hidden="1" x14ac:dyDescent="0.4">
      <c r="A33" s="18" t="str">
        <v/>
      </c>
      <c r="B33" s="14"/>
      <c r="C33" s="8"/>
      <c r="D33" s="8"/>
      <c r="E33" s="8"/>
      <c r="F33" s="8"/>
      <c r="G33" s="8"/>
      <c r="H33" s="8"/>
      <c r="I33" s="8"/>
      <c r="J33" s="8"/>
      <c r="K33" s="8"/>
      <c r="L33" s="10"/>
    </row>
    <row r="34" spans="1:12" hidden="1" x14ac:dyDescent="0.4">
      <c r="A34" s="18" t="str">
        <v/>
      </c>
      <c r="B34" s="14"/>
      <c r="C34" s="8"/>
      <c r="D34" s="8"/>
      <c r="E34" s="8"/>
      <c r="F34" s="8"/>
      <c r="G34" s="8"/>
      <c r="H34" s="8"/>
      <c r="I34" s="8"/>
      <c r="J34" s="8"/>
      <c r="K34" s="8"/>
      <c r="L34" s="10"/>
    </row>
    <row r="35" spans="1:12" hidden="1" x14ac:dyDescent="0.4">
      <c r="A35" s="18" t="str">
        <v/>
      </c>
      <c r="B35" s="14"/>
      <c r="C35" s="8"/>
      <c r="D35" s="8"/>
      <c r="E35" s="8"/>
      <c r="F35" s="8"/>
      <c r="G35" s="8"/>
      <c r="H35" s="8"/>
      <c r="I35" s="8"/>
      <c r="J35" s="8"/>
      <c r="K35" s="8"/>
      <c r="L35" s="10"/>
    </row>
    <row r="36" spans="1:12" hidden="1" x14ac:dyDescent="0.4">
      <c r="A36" s="18" t="str">
        <v/>
      </c>
      <c r="B36" s="14"/>
      <c r="C36" s="8"/>
      <c r="D36" s="8"/>
      <c r="E36" s="8"/>
      <c r="F36" s="8"/>
      <c r="G36" s="8"/>
      <c r="H36" s="8"/>
      <c r="I36" s="8"/>
      <c r="J36" s="8"/>
      <c r="K36" s="8"/>
      <c r="L36" s="10"/>
    </row>
    <row r="37" spans="1:12" hidden="1" x14ac:dyDescent="0.4">
      <c r="A37" s="18" t="str">
        <v/>
      </c>
      <c r="B37" s="14"/>
      <c r="C37" s="8"/>
      <c r="D37" s="8"/>
      <c r="E37" s="8"/>
      <c r="F37" s="8"/>
      <c r="G37" s="8"/>
      <c r="H37" s="8"/>
      <c r="I37" s="8"/>
      <c r="J37" s="8"/>
      <c r="K37" s="8"/>
      <c r="L37" s="10"/>
    </row>
    <row r="38" spans="1:12" hidden="1" x14ac:dyDescent="0.4">
      <c r="A38" s="18" t="str">
        <v/>
      </c>
      <c r="B38" s="14"/>
      <c r="C38" s="8"/>
      <c r="D38" s="8"/>
      <c r="E38" s="8"/>
      <c r="F38" s="8"/>
      <c r="G38" s="8"/>
      <c r="H38" s="8"/>
      <c r="I38" s="8"/>
      <c r="J38" s="8"/>
      <c r="K38" s="8"/>
      <c r="L38" s="10"/>
    </row>
    <row r="39" spans="1:12" hidden="1" x14ac:dyDescent="0.4">
      <c r="A39" s="18" t="str">
        <v/>
      </c>
      <c r="B39" s="14"/>
      <c r="C39" s="8"/>
      <c r="D39" s="8"/>
      <c r="E39" s="8"/>
      <c r="F39" s="8"/>
      <c r="G39" s="8"/>
      <c r="H39" s="8"/>
      <c r="I39" s="8"/>
      <c r="J39" s="8"/>
      <c r="K39" s="8"/>
      <c r="L39" s="10"/>
    </row>
    <row r="40" spans="1:12" hidden="1" x14ac:dyDescent="0.4">
      <c r="A40" s="18" t="str">
        <v/>
      </c>
      <c r="B40" s="14"/>
      <c r="C40" s="8"/>
      <c r="D40" s="8"/>
      <c r="E40" s="8"/>
      <c r="F40" s="8"/>
      <c r="G40" s="8"/>
      <c r="H40" s="8"/>
      <c r="I40" s="8"/>
      <c r="J40" s="8"/>
      <c r="K40" s="8"/>
      <c r="L40" s="10"/>
    </row>
    <row r="41" spans="1:12" hidden="1" x14ac:dyDescent="0.4">
      <c r="A41" s="18" t="str">
        <v/>
      </c>
      <c r="B41" s="14"/>
      <c r="C41" s="8"/>
      <c r="D41" s="8"/>
      <c r="E41" s="8"/>
      <c r="F41" s="8"/>
      <c r="G41" s="8"/>
      <c r="H41" s="8"/>
      <c r="I41" s="8"/>
      <c r="J41" s="8"/>
      <c r="K41" s="8"/>
      <c r="L41" s="10"/>
    </row>
    <row r="42" spans="1:12" hidden="1" x14ac:dyDescent="0.4">
      <c r="A42" s="18"/>
      <c r="B42" s="14"/>
      <c r="C42" s="8"/>
      <c r="D42" s="8"/>
      <c r="E42" s="8"/>
      <c r="F42" s="8"/>
      <c r="G42" s="8"/>
      <c r="H42" s="8"/>
      <c r="I42" s="8"/>
      <c r="J42" s="8"/>
      <c r="K42" s="8"/>
      <c r="L42" s="10"/>
    </row>
    <row r="43" spans="1:12" hidden="1" x14ac:dyDescent="0.4">
      <c r="A43" s="18"/>
      <c r="B43" s="14"/>
      <c r="C43" s="8"/>
      <c r="D43" s="8"/>
      <c r="E43" s="8"/>
      <c r="F43" s="8"/>
      <c r="G43" s="8"/>
      <c r="H43" s="8"/>
      <c r="I43" s="8"/>
      <c r="J43" s="8"/>
      <c r="K43" s="8"/>
      <c r="L43" s="10"/>
    </row>
    <row r="44" spans="1:12" hidden="1" x14ac:dyDescent="0.4">
      <c r="A44" s="18"/>
      <c r="B44" s="14"/>
      <c r="C44" s="8"/>
      <c r="D44" s="8"/>
      <c r="E44" s="8"/>
      <c r="F44" s="8"/>
      <c r="G44" s="8"/>
      <c r="H44" s="8"/>
      <c r="I44" s="8"/>
      <c r="J44" s="8"/>
      <c r="K44" s="8"/>
      <c r="L44" s="10"/>
    </row>
    <row r="45" spans="1:12" hidden="1" x14ac:dyDescent="0.4">
      <c r="A45" s="18"/>
      <c r="B45" s="14"/>
      <c r="C45" s="8"/>
      <c r="D45" s="8"/>
      <c r="E45" s="8"/>
      <c r="F45" s="8"/>
      <c r="G45" s="8"/>
      <c r="H45" s="8"/>
      <c r="I45" s="8"/>
      <c r="J45" s="8"/>
      <c r="K45" s="8"/>
      <c r="L45" s="10"/>
    </row>
    <row r="46" spans="1:12" hidden="1" x14ac:dyDescent="0.4">
      <c r="A46" s="18"/>
      <c r="B46" s="14"/>
      <c r="C46" s="8"/>
      <c r="D46" s="8"/>
      <c r="E46" s="8"/>
      <c r="F46" s="8"/>
      <c r="G46" s="8"/>
      <c r="H46" s="8"/>
      <c r="I46" s="8"/>
      <c r="J46" s="8"/>
      <c r="K46" s="8"/>
      <c r="L46" s="10"/>
    </row>
    <row r="47" spans="1:12" hidden="1" x14ac:dyDescent="0.4">
      <c r="A47" s="18"/>
      <c r="B47" s="14"/>
      <c r="C47" s="8"/>
      <c r="D47" s="8"/>
      <c r="E47" s="8"/>
      <c r="F47" s="8"/>
      <c r="G47" s="8"/>
      <c r="H47" s="8"/>
      <c r="I47" s="8"/>
      <c r="J47" s="8"/>
      <c r="K47" s="8"/>
      <c r="L47" s="10"/>
    </row>
    <row r="48" spans="1:12" hidden="1" x14ac:dyDescent="0.4">
      <c r="A48" s="18"/>
      <c r="B48" s="14"/>
      <c r="C48" s="8"/>
      <c r="D48" s="8"/>
      <c r="E48" s="8"/>
      <c r="F48" s="8"/>
      <c r="G48" s="8"/>
      <c r="H48" s="8"/>
      <c r="I48" s="8"/>
      <c r="J48" s="8"/>
      <c r="K48" s="8"/>
      <c r="L48" s="10"/>
    </row>
    <row r="49" spans="1:12" ht="17.399999999999999" thickBot="1" x14ac:dyDescent="0.45">
      <c r="A49" s="19"/>
      <c r="B49" s="15"/>
      <c r="C49" s="11"/>
      <c r="D49" s="11"/>
      <c r="E49" s="11"/>
      <c r="F49" s="11"/>
      <c r="G49" s="11"/>
      <c r="H49" s="11"/>
      <c r="I49" s="11"/>
      <c r="J49" s="11"/>
      <c r="K49" s="11"/>
      <c r="L49" s="12"/>
    </row>
  </sheetData>
  <sortState xmlns:xlrd2="http://schemas.microsoft.com/office/spreadsheetml/2017/richdata2" ref="E6:G6">
    <sortCondition descending="1" ref="E6"/>
  </sortState>
  <mergeCells count="3">
    <mergeCell ref="E2:H3"/>
    <mergeCell ref="C19:I22"/>
    <mergeCell ref="E17:G17"/>
  </mergeCell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5DCAC7-FC65-42A5-8CF3-360AE7F408AD}">
          <x14:formula1>
            <xm:f>REDES!$A:$A</xm:f>
          </x14:formula1>
          <xm:sqref>F6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B2E-9D79-40D8-9505-B00E4984A7B1}">
  <sheetPr>
    <tabColor theme="8"/>
  </sheetPr>
  <dimension ref="C4:C114"/>
  <sheetViews>
    <sheetView showGridLines="0" zoomScale="70" zoomScaleNormal="70" workbookViewId="0">
      <selection activeCell="E115" sqref="A2:E1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outlineLevelRow="1" x14ac:dyDescent="0.3"/>
  <cols>
    <col min="3" max="3" width="48.5546875" bestFit="1" customWidth="1"/>
  </cols>
  <sheetData>
    <row r="4" spans="3:3" ht="15" thickBot="1" x14ac:dyDescent="0.35"/>
    <row r="5" spans="3:3" ht="19.8" thickTop="1" x14ac:dyDescent="0.3">
      <c r="C5" s="24" t="s">
        <v>82</v>
      </c>
    </row>
    <row r="6" spans="3:3" ht="39" thickBot="1" x14ac:dyDescent="0.35">
      <c r="C6" s="25" t="s">
        <v>83</v>
      </c>
    </row>
    <row r="7" spans="3:3" ht="15.6" thickTop="1" thickBot="1" x14ac:dyDescent="0.35"/>
    <row r="8" spans="3:3" ht="19.8" thickTop="1" x14ac:dyDescent="0.3">
      <c r="C8" s="24" t="s">
        <v>113</v>
      </c>
    </row>
    <row r="9" spans="3:3" outlineLevel="1" x14ac:dyDescent="0.3">
      <c r="C9" s="28" t="s">
        <v>84</v>
      </c>
    </row>
    <row r="10" spans="3:3" outlineLevel="1" x14ac:dyDescent="0.3">
      <c r="C10" s="28" t="s">
        <v>85</v>
      </c>
    </row>
    <row r="11" spans="3:3" outlineLevel="1" x14ac:dyDescent="0.3">
      <c r="C11" s="28" t="s">
        <v>86</v>
      </c>
    </row>
    <row r="12" spans="3:3" ht="15" outlineLevel="1" thickBot="1" x14ac:dyDescent="0.35">
      <c r="C12" s="29" t="s">
        <v>87</v>
      </c>
    </row>
    <row r="13" spans="3:3" ht="15" thickTop="1" x14ac:dyDescent="0.3"/>
    <row r="15" spans="3:3" ht="15" thickBot="1" x14ac:dyDescent="0.35"/>
    <row r="16" spans="3:3" ht="19.8" thickTop="1" x14ac:dyDescent="0.3">
      <c r="C16" s="24" t="s">
        <v>114</v>
      </c>
    </row>
    <row r="17" spans="3:3" outlineLevel="1" x14ac:dyDescent="0.3">
      <c r="C17" s="28" t="s">
        <v>88</v>
      </c>
    </row>
    <row r="18" spans="3:3" outlineLevel="1" x14ac:dyDescent="0.3">
      <c r="C18" s="28" t="s">
        <v>121</v>
      </c>
    </row>
    <row r="19" spans="3:3" outlineLevel="1" x14ac:dyDescent="0.3">
      <c r="C19" s="28" t="s">
        <v>89</v>
      </c>
    </row>
    <row r="20" spans="3:3" outlineLevel="1" x14ac:dyDescent="0.3">
      <c r="C20" s="28" t="s">
        <v>122</v>
      </c>
    </row>
    <row r="21" spans="3:3" outlineLevel="1" x14ac:dyDescent="0.3">
      <c r="C21" s="28" t="s">
        <v>90</v>
      </c>
    </row>
    <row r="22" spans="3:3" outlineLevel="1" x14ac:dyDescent="0.3">
      <c r="C22" s="28" t="s">
        <v>123</v>
      </c>
    </row>
    <row r="23" spans="3:3" outlineLevel="1" x14ac:dyDescent="0.3">
      <c r="C23" s="28" t="s">
        <v>91</v>
      </c>
    </row>
    <row r="24" spans="3:3" outlineLevel="1" x14ac:dyDescent="0.3">
      <c r="C24" s="28" t="s">
        <v>124</v>
      </c>
    </row>
    <row r="25" spans="3:3" outlineLevel="1" x14ac:dyDescent="0.3">
      <c r="C25" s="28" t="s">
        <v>92</v>
      </c>
    </row>
    <row r="26" spans="3:3" outlineLevel="1" x14ac:dyDescent="0.3">
      <c r="C26" s="28" t="s">
        <v>125</v>
      </c>
    </row>
    <row r="27" spans="3:3" outlineLevel="1" x14ac:dyDescent="0.3">
      <c r="C27" s="28" t="s">
        <v>93</v>
      </c>
    </row>
    <row r="28" spans="3:3" outlineLevel="1" x14ac:dyDescent="0.3">
      <c r="C28" s="28" t="s">
        <v>126</v>
      </c>
    </row>
    <row r="29" spans="3:3" outlineLevel="1" x14ac:dyDescent="0.3">
      <c r="C29" s="28" t="s">
        <v>94</v>
      </c>
    </row>
    <row r="30" spans="3:3" ht="15" outlineLevel="1" thickBot="1" x14ac:dyDescent="0.35">
      <c r="C30" s="29" t="s">
        <v>127</v>
      </c>
    </row>
    <row r="31" spans="3:3" ht="15" thickTop="1" x14ac:dyDescent="0.3"/>
    <row r="33" spans="3:3" ht="15" thickBot="1" x14ac:dyDescent="0.35"/>
    <row r="34" spans="3:3" ht="39" thickTop="1" x14ac:dyDescent="0.3">
      <c r="C34" s="24" t="s">
        <v>115</v>
      </c>
    </row>
    <row r="35" spans="3:3" outlineLevel="1" x14ac:dyDescent="0.3">
      <c r="C35" s="28" t="s">
        <v>95</v>
      </c>
    </row>
    <row r="36" spans="3:3" outlineLevel="1" x14ac:dyDescent="0.3">
      <c r="C36" s="28" t="s">
        <v>128</v>
      </c>
    </row>
    <row r="37" spans="3:3" ht="15" outlineLevel="1" thickBot="1" x14ac:dyDescent="0.35">
      <c r="C37" s="29" t="s">
        <v>129</v>
      </c>
    </row>
    <row r="38" spans="3:3" ht="15" thickTop="1" x14ac:dyDescent="0.3"/>
    <row r="40" spans="3:3" ht="15" thickBot="1" x14ac:dyDescent="0.35"/>
    <row r="41" spans="3:3" ht="39" thickTop="1" x14ac:dyDescent="0.3">
      <c r="C41" s="24" t="s">
        <v>116</v>
      </c>
    </row>
    <row r="42" spans="3:3" outlineLevel="1" x14ac:dyDescent="0.3">
      <c r="C42" s="28" t="s">
        <v>95</v>
      </c>
    </row>
    <row r="43" spans="3:3" outlineLevel="1" x14ac:dyDescent="0.3">
      <c r="C43" s="28" t="s">
        <v>130</v>
      </c>
    </row>
    <row r="44" spans="3:3" ht="15" outlineLevel="1" thickBot="1" x14ac:dyDescent="0.35">
      <c r="C44" s="29" t="s">
        <v>131</v>
      </c>
    </row>
    <row r="45" spans="3:3" ht="15" thickTop="1" x14ac:dyDescent="0.3"/>
    <row r="47" spans="3:3" ht="15" thickBot="1" x14ac:dyDescent="0.35"/>
    <row r="48" spans="3:3" ht="19.8" thickTop="1" x14ac:dyDescent="0.3">
      <c r="C48" s="24" t="s">
        <v>117</v>
      </c>
    </row>
    <row r="49" spans="3:3" outlineLevel="1" x14ac:dyDescent="0.3">
      <c r="C49" s="28" t="s">
        <v>132</v>
      </c>
    </row>
    <row r="50" spans="3:3" outlineLevel="1" x14ac:dyDescent="0.3">
      <c r="C50" s="28" t="s">
        <v>133</v>
      </c>
    </row>
    <row r="51" spans="3:3" ht="15" outlineLevel="1" thickBot="1" x14ac:dyDescent="0.35">
      <c r="C51" s="29" t="s">
        <v>134</v>
      </c>
    </row>
    <row r="52" spans="3:3" ht="15" thickTop="1" x14ac:dyDescent="0.3"/>
    <row r="54" spans="3:3" ht="15" thickBot="1" x14ac:dyDescent="0.35"/>
    <row r="55" spans="3:3" ht="39" thickTop="1" x14ac:dyDescent="0.3">
      <c r="C55" s="24" t="s">
        <v>118</v>
      </c>
    </row>
    <row r="56" spans="3:3" x14ac:dyDescent="0.3">
      <c r="C56" s="26"/>
    </row>
    <row r="57" spans="3:3" ht="19.2" x14ac:dyDescent="0.3">
      <c r="C57" s="27" t="s">
        <v>119</v>
      </c>
    </row>
    <row r="58" spans="3:3" outlineLevel="1" x14ac:dyDescent="0.3">
      <c r="C58" s="28" t="s">
        <v>96</v>
      </c>
    </row>
    <row r="59" spans="3:3" outlineLevel="1" x14ac:dyDescent="0.3">
      <c r="C59" s="28" t="s">
        <v>135</v>
      </c>
    </row>
    <row r="60" spans="3:3" x14ac:dyDescent="0.3">
      <c r="C60" s="26"/>
    </row>
    <row r="61" spans="3:3" ht="19.2" x14ac:dyDescent="0.3">
      <c r="C61" s="27" t="s">
        <v>120</v>
      </c>
    </row>
    <row r="62" spans="3:3" outlineLevel="1" x14ac:dyDescent="0.3">
      <c r="C62" s="28" t="s">
        <v>97</v>
      </c>
    </row>
    <row r="63" spans="3:3" outlineLevel="1" x14ac:dyDescent="0.3">
      <c r="C63" s="28" t="s">
        <v>136</v>
      </c>
    </row>
    <row r="64" spans="3:3" outlineLevel="1" x14ac:dyDescent="0.3">
      <c r="C64" s="28" t="s">
        <v>137</v>
      </c>
    </row>
    <row r="65" spans="3:3" outlineLevel="1" x14ac:dyDescent="0.3">
      <c r="C65" s="26"/>
    </row>
    <row r="66" spans="3:3" outlineLevel="1" x14ac:dyDescent="0.3">
      <c r="C66" s="28" t="s">
        <v>98</v>
      </c>
    </row>
    <row r="67" spans="3:3" outlineLevel="1" x14ac:dyDescent="0.3">
      <c r="C67" s="28" t="s">
        <v>138</v>
      </c>
    </row>
    <row r="68" spans="3:3" outlineLevel="1" x14ac:dyDescent="0.3">
      <c r="C68" s="28" t="s">
        <v>139</v>
      </c>
    </row>
    <row r="69" spans="3:3" outlineLevel="1" x14ac:dyDescent="0.3">
      <c r="C69" s="26"/>
    </row>
    <row r="70" spans="3:3" outlineLevel="1" x14ac:dyDescent="0.3">
      <c r="C70" s="28" t="s">
        <v>99</v>
      </c>
    </row>
    <row r="71" spans="3:3" outlineLevel="1" x14ac:dyDescent="0.3">
      <c r="C71" s="28" t="s">
        <v>140</v>
      </c>
    </row>
    <row r="72" spans="3:3" outlineLevel="1" x14ac:dyDescent="0.3">
      <c r="C72" s="28" t="s">
        <v>141</v>
      </c>
    </row>
    <row r="73" spans="3:3" outlineLevel="1" x14ac:dyDescent="0.3">
      <c r="C73" s="26"/>
    </row>
    <row r="74" spans="3:3" outlineLevel="1" x14ac:dyDescent="0.3">
      <c r="C74" s="28" t="s">
        <v>100</v>
      </c>
    </row>
    <row r="75" spans="3:3" outlineLevel="1" x14ac:dyDescent="0.3">
      <c r="C75" s="28" t="s">
        <v>142</v>
      </c>
    </row>
    <row r="76" spans="3:3" outlineLevel="1" x14ac:dyDescent="0.3">
      <c r="C76" s="28" t="s">
        <v>143</v>
      </c>
    </row>
    <row r="77" spans="3:3" outlineLevel="1" x14ac:dyDescent="0.3">
      <c r="C77" s="26"/>
    </row>
    <row r="78" spans="3:3" outlineLevel="1" x14ac:dyDescent="0.3">
      <c r="C78" s="28" t="s">
        <v>101</v>
      </c>
    </row>
    <row r="79" spans="3:3" outlineLevel="1" x14ac:dyDescent="0.3">
      <c r="C79" s="28" t="s">
        <v>144</v>
      </c>
    </row>
    <row r="80" spans="3:3" outlineLevel="1" x14ac:dyDescent="0.3">
      <c r="C80" s="28" t="s">
        <v>145</v>
      </c>
    </row>
    <row r="81" spans="3:3" outlineLevel="1" x14ac:dyDescent="0.3">
      <c r="C81" s="26"/>
    </row>
    <row r="82" spans="3:3" outlineLevel="1" x14ac:dyDescent="0.3">
      <c r="C82" s="28" t="s">
        <v>102</v>
      </c>
    </row>
    <row r="83" spans="3:3" outlineLevel="1" x14ac:dyDescent="0.3">
      <c r="C83" s="28" t="s">
        <v>146</v>
      </c>
    </row>
    <row r="84" spans="3:3" outlineLevel="1" x14ac:dyDescent="0.3">
      <c r="C84" s="28" t="s">
        <v>147</v>
      </c>
    </row>
    <row r="85" spans="3:3" outlineLevel="1" x14ac:dyDescent="0.3">
      <c r="C85" s="26"/>
    </row>
    <row r="86" spans="3:3" outlineLevel="1" x14ac:dyDescent="0.3">
      <c r="C86" s="28" t="s">
        <v>103</v>
      </c>
    </row>
    <row r="87" spans="3:3" outlineLevel="1" x14ac:dyDescent="0.3">
      <c r="C87" s="28" t="s">
        <v>148</v>
      </c>
    </row>
    <row r="88" spans="3:3" ht="15" outlineLevel="1" thickBot="1" x14ac:dyDescent="0.35">
      <c r="C88" s="29" t="s">
        <v>149</v>
      </c>
    </row>
    <row r="89" spans="3:3" ht="15" thickTop="1" x14ac:dyDescent="0.3"/>
    <row r="91" spans="3:3" ht="15" thickBot="1" x14ac:dyDescent="0.35"/>
    <row r="92" spans="3:3" ht="19.8" thickTop="1" x14ac:dyDescent="0.3">
      <c r="C92" s="24" t="s">
        <v>150</v>
      </c>
    </row>
    <row r="93" spans="3:3" ht="15" outlineLevel="1" thickBot="1" x14ac:dyDescent="0.35">
      <c r="C93" s="29" t="s">
        <v>104</v>
      </c>
    </row>
    <row r="94" spans="3:3" ht="15" thickTop="1" x14ac:dyDescent="0.3"/>
    <row r="96" spans="3:3" ht="15" thickBot="1" x14ac:dyDescent="0.35"/>
    <row r="97" spans="3:3" ht="19.8" thickTop="1" x14ac:dyDescent="0.3">
      <c r="C97" s="24" t="s">
        <v>151</v>
      </c>
    </row>
    <row r="98" spans="3:3" outlineLevel="1" x14ac:dyDescent="0.3">
      <c r="C98" s="28" t="s">
        <v>105</v>
      </c>
    </row>
    <row r="99" spans="3:3" outlineLevel="1" x14ac:dyDescent="0.3">
      <c r="C99" s="28" t="s">
        <v>106</v>
      </c>
    </row>
    <row r="100" spans="3:3" ht="15" outlineLevel="1" thickBot="1" x14ac:dyDescent="0.35">
      <c r="C100" s="29" t="s">
        <v>107</v>
      </c>
    </row>
    <row r="101" spans="3:3" ht="15" thickTop="1" x14ac:dyDescent="0.3"/>
    <row r="103" spans="3:3" ht="15" thickBot="1" x14ac:dyDescent="0.35"/>
    <row r="104" spans="3:3" ht="19.8" thickTop="1" x14ac:dyDescent="0.3">
      <c r="C104" s="24" t="s">
        <v>152</v>
      </c>
    </row>
    <row r="105" spans="3:3" outlineLevel="1" x14ac:dyDescent="0.3">
      <c r="C105" s="28" t="s">
        <v>108</v>
      </c>
    </row>
    <row r="106" spans="3:3" ht="15" outlineLevel="1" thickBot="1" x14ac:dyDescent="0.35">
      <c r="C106" s="29" t="s">
        <v>109</v>
      </c>
    </row>
    <row r="107" spans="3:3" ht="15" thickTop="1" x14ac:dyDescent="0.3"/>
    <row r="109" spans="3:3" ht="15" thickBot="1" x14ac:dyDescent="0.35"/>
    <row r="110" spans="3:3" ht="39" thickTop="1" x14ac:dyDescent="0.3">
      <c r="C110" s="24" t="s">
        <v>153</v>
      </c>
    </row>
    <row r="111" spans="3:3" outlineLevel="1" x14ac:dyDescent="0.3">
      <c r="C111" s="28" t="s">
        <v>110</v>
      </c>
    </row>
    <row r="112" spans="3:3" outlineLevel="1" x14ac:dyDescent="0.3">
      <c r="C112" s="28" t="s">
        <v>111</v>
      </c>
    </row>
    <row r="113" spans="3:3" ht="15" outlineLevel="1" thickBot="1" x14ac:dyDescent="0.35">
      <c r="C113" s="29" t="s">
        <v>112</v>
      </c>
    </row>
    <row r="114" spans="3:3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246-07A9-4794-8416-C93D81722949}">
  <sheetPr>
    <tabColor rgb="FFFFC000"/>
  </sheetPr>
  <dimension ref="A1:K11"/>
  <sheetViews>
    <sheetView showGridLines="0" showRowColHeaders="0" tabSelected="1" workbookViewId="0">
      <selection activeCell="F20" sqref="F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6.109375" bestFit="1" customWidth="1"/>
    <col min="2" max="2" width="15.33203125" bestFit="1" customWidth="1"/>
    <col min="3" max="3" width="15.33203125" customWidth="1"/>
    <col min="4" max="4" width="9.88671875" bestFit="1" customWidth="1"/>
    <col min="5" max="5" width="17.44140625" bestFit="1" customWidth="1"/>
    <col min="6" max="6" width="14.88671875" bestFit="1" customWidth="1"/>
    <col min="7" max="7" width="11.6640625" bestFit="1" customWidth="1"/>
    <col min="8" max="9" width="13.6640625" bestFit="1" customWidth="1"/>
    <col min="10" max="10" width="10.109375" bestFit="1" customWidth="1"/>
    <col min="11" max="11" width="19.88671875" bestFit="1" customWidth="1"/>
  </cols>
  <sheetData>
    <row r="1" spans="1:11" x14ac:dyDescent="0.3">
      <c r="A1" s="33" t="s">
        <v>21</v>
      </c>
      <c r="B1" s="33" t="s">
        <v>0</v>
      </c>
      <c r="C1" s="33" t="s">
        <v>76</v>
      </c>
      <c r="D1" s="33" t="s">
        <v>22</v>
      </c>
      <c r="E1" t="s">
        <v>9</v>
      </c>
      <c r="F1" t="s">
        <v>10</v>
      </c>
      <c r="G1" t="s">
        <v>11</v>
      </c>
      <c r="H1" t="s">
        <v>12</v>
      </c>
      <c r="I1" t="s">
        <v>6</v>
      </c>
      <c r="J1" t="s">
        <v>13</v>
      </c>
      <c r="K1" t="s">
        <v>14</v>
      </c>
    </row>
    <row r="2" spans="1:11" x14ac:dyDescent="0.3">
      <c r="A2" s="33" t="s">
        <v>19</v>
      </c>
      <c r="B2" s="33" t="s">
        <v>20</v>
      </c>
      <c r="C2" s="33" t="s">
        <v>77</v>
      </c>
      <c r="D2" s="33" t="s">
        <v>7</v>
      </c>
      <c r="E2" t="s">
        <v>15</v>
      </c>
      <c r="F2" t="s">
        <v>8</v>
      </c>
      <c r="G2" t="s">
        <v>16</v>
      </c>
      <c r="H2" t="s">
        <v>17</v>
      </c>
      <c r="I2" t="s">
        <v>18</v>
      </c>
      <c r="J2">
        <v>254</v>
      </c>
      <c r="K2">
        <v>256</v>
      </c>
    </row>
    <row r="3" spans="1:11" x14ac:dyDescent="0.3">
      <c r="A3" s="33" t="s">
        <v>23</v>
      </c>
      <c r="B3" s="33" t="s">
        <v>24</v>
      </c>
      <c r="C3" s="33" t="s">
        <v>77</v>
      </c>
      <c r="D3" s="33" t="s">
        <v>25</v>
      </c>
      <c r="E3" t="s">
        <v>15</v>
      </c>
      <c r="F3" t="s">
        <v>26</v>
      </c>
      <c r="G3" t="s">
        <v>27</v>
      </c>
      <c r="H3" t="s">
        <v>35</v>
      </c>
      <c r="I3" t="s">
        <v>36</v>
      </c>
      <c r="J3">
        <v>254</v>
      </c>
      <c r="K3">
        <v>256</v>
      </c>
    </row>
    <row r="4" spans="1:11" x14ac:dyDescent="0.3">
      <c r="A4" s="33" t="s">
        <v>28</v>
      </c>
      <c r="B4" s="33" t="s">
        <v>29</v>
      </c>
      <c r="C4" s="33" t="s">
        <v>77</v>
      </c>
      <c r="D4" s="33" t="s">
        <v>30</v>
      </c>
      <c r="E4" t="s">
        <v>15</v>
      </c>
      <c r="F4" t="s">
        <v>31</v>
      </c>
      <c r="G4" t="s">
        <v>32</v>
      </c>
      <c r="H4" t="s">
        <v>33</v>
      </c>
      <c r="I4" t="s">
        <v>34</v>
      </c>
      <c r="J4">
        <v>254</v>
      </c>
      <c r="K4">
        <v>256</v>
      </c>
    </row>
    <row r="5" spans="1:11" x14ac:dyDescent="0.3">
      <c r="A5" s="33" t="s">
        <v>37</v>
      </c>
      <c r="B5" s="33" t="s">
        <v>38</v>
      </c>
      <c r="C5" s="33" t="s">
        <v>77</v>
      </c>
      <c r="D5" s="33" t="s">
        <v>41</v>
      </c>
      <c r="E5" t="s">
        <v>15</v>
      </c>
      <c r="F5" t="s">
        <v>45</v>
      </c>
      <c r="G5" t="s">
        <v>49</v>
      </c>
      <c r="H5" t="s">
        <v>53</v>
      </c>
      <c r="I5" t="s">
        <v>57</v>
      </c>
      <c r="J5">
        <v>254</v>
      </c>
      <c r="K5">
        <v>256</v>
      </c>
    </row>
    <row r="6" spans="1:11" x14ac:dyDescent="0.3">
      <c r="A6" s="33" t="s">
        <v>39</v>
      </c>
      <c r="B6" s="33" t="s">
        <v>40</v>
      </c>
      <c r="C6" s="33" t="s">
        <v>78</v>
      </c>
      <c r="D6" s="33" t="s">
        <v>42</v>
      </c>
      <c r="E6" t="s">
        <v>15</v>
      </c>
      <c r="F6" t="s">
        <v>46</v>
      </c>
      <c r="G6" t="s">
        <v>50</v>
      </c>
      <c r="H6" t="s">
        <v>54</v>
      </c>
      <c r="I6" t="s">
        <v>58</v>
      </c>
      <c r="J6">
        <v>254</v>
      </c>
      <c r="K6">
        <v>256</v>
      </c>
    </row>
    <row r="7" spans="1:11" x14ac:dyDescent="0.3">
      <c r="A7" s="33" t="s">
        <v>61</v>
      </c>
      <c r="B7" s="33" t="s">
        <v>154</v>
      </c>
      <c r="C7" s="33" t="s">
        <v>78</v>
      </c>
      <c r="D7" s="33" t="s">
        <v>43</v>
      </c>
      <c r="E7" t="s">
        <v>15</v>
      </c>
      <c r="F7" t="s">
        <v>47</v>
      </c>
      <c r="G7" t="s">
        <v>51</v>
      </c>
      <c r="H7" t="s">
        <v>55</v>
      </c>
      <c r="I7" t="s">
        <v>59</v>
      </c>
      <c r="J7">
        <v>254</v>
      </c>
      <c r="K7">
        <v>256</v>
      </c>
    </row>
    <row r="8" spans="1:11" x14ac:dyDescent="0.3">
      <c r="A8" s="33" t="s">
        <v>156</v>
      </c>
      <c r="B8" s="33" t="s">
        <v>159</v>
      </c>
      <c r="C8" s="33" t="s">
        <v>78</v>
      </c>
      <c r="D8" s="33" t="s">
        <v>157</v>
      </c>
      <c r="E8" t="s">
        <v>15</v>
      </c>
      <c r="F8" t="s">
        <v>165</v>
      </c>
      <c r="G8" t="s">
        <v>168</v>
      </c>
      <c r="H8" t="s">
        <v>171</v>
      </c>
      <c r="I8" t="s">
        <v>174</v>
      </c>
      <c r="J8">
        <v>254</v>
      </c>
      <c r="K8">
        <v>256</v>
      </c>
    </row>
    <row r="9" spans="1:11" x14ac:dyDescent="0.3">
      <c r="A9" s="33" t="s">
        <v>162</v>
      </c>
      <c r="B9" s="33" t="s">
        <v>160</v>
      </c>
      <c r="C9" s="33" t="s">
        <v>78</v>
      </c>
      <c r="D9" s="33" t="s">
        <v>158</v>
      </c>
      <c r="E9" t="s">
        <v>15</v>
      </c>
      <c r="F9" t="s">
        <v>166</v>
      </c>
      <c r="G9" t="s">
        <v>169</v>
      </c>
      <c r="H9" t="s">
        <v>172</v>
      </c>
      <c r="I9" t="s">
        <v>175</v>
      </c>
      <c r="J9">
        <v>254</v>
      </c>
      <c r="K9">
        <v>256</v>
      </c>
    </row>
    <row r="10" spans="1:11" x14ac:dyDescent="0.3">
      <c r="A10" s="33" t="s">
        <v>163</v>
      </c>
      <c r="B10" s="33" t="s">
        <v>161</v>
      </c>
      <c r="C10" s="33" t="s">
        <v>77</v>
      </c>
      <c r="D10" s="33" t="s">
        <v>164</v>
      </c>
      <c r="E10" t="s">
        <v>15</v>
      </c>
      <c r="F10" t="s">
        <v>167</v>
      </c>
      <c r="G10" t="s">
        <v>170</v>
      </c>
      <c r="H10" t="s">
        <v>173</v>
      </c>
      <c r="I10" t="s">
        <v>176</v>
      </c>
      <c r="J10">
        <v>254</v>
      </c>
      <c r="K10">
        <v>256</v>
      </c>
    </row>
    <row r="11" spans="1:11" x14ac:dyDescent="0.3">
      <c r="A11" s="33" t="s">
        <v>62</v>
      </c>
      <c r="B11" s="33" t="s">
        <v>155</v>
      </c>
      <c r="C11" s="33" t="s">
        <v>78</v>
      </c>
      <c r="D11" s="33" t="s">
        <v>44</v>
      </c>
      <c r="E11" t="s">
        <v>15</v>
      </c>
      <c r="F11" t="s">
        <v>48</v>
      </c>
      <c r="G11" t="s">
        <v>52</v>
      </c>
      <c r="H11" t="s">
        <v>56</v>
      </c>
      <c r="I11" t="s">
        <v>60</v>
      </c>
      <c r="J11">
        <v>254</v>
      </c>
      <c r="K11">
        <v>256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DCAC-62CC-4016-AE12-BE513C968CBB}">
  <sheetPr>
    <tabColor rgb="FFFFC000"/>
  </sheetPr>
  <dimension ref="A1:D34"/>
  <sheetViews>
    <sheetView showGridLines="0" showRowColHeaders="0" workbookViewId="0">
      <selection activeCell="B16" sqref="B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6.88671875" customWidth="1"/>
    <col min="2" max="2" width="29.109375" bestFit="1" customWidth="1"/>
    <col min="3" max="3" width="12.44140625" bestFit="1" customWidth="1"/>
    <col min="4" max="4" width="16.88671875" customWidth="1"/>
    <col min="5" max="5" width="21.5546875" bestFit="1" customWidth="1"/>
    <col min="6" max="6" width="21" bestFit="1" customWidth="1"/>
    <col min="7" max="7" width="5.5546875" bestFit="1" customWidth="1"/>
    <col min="8" max="8" width="14.33203125" bestFit="1" customWidth="1"/>
    <col min="9" max="9" width="11.21875" bestFit="1" customWidth="1"/>
  </cols>
  <sheetData>
    <row r="1" spans="1:4" x14ac:dyDescent="0.3">
      <c r="A1" t="s">
        <v>21</v>
      </c>
      <c r="B1" t="s">
        <v>74</v>
      </c>
      <c r="C1" t="s">
        <v>65</v>
      </c>
      <c r="D1" t="s">
        <v>21</v>
      </c>
    </row>
    <row r="2" spans="1:4" x14ac:dyDescent="0.3">
      <c r="A2" t="s">
        <v>19</v>
      </c>
      <c r="B2" t="s">
        <v>63</v>
      </c>
      <c r="C2">
        <v>4</v>
      </c>
      <c r="D2" t="s">
        <v>19</v>
      </c>
    </row>
    <row r="3" spans="1:4" x14ac:dyDescent="0.3">
      <c r="A3" t="s">
        <v>19</v>
      </c>
      <c r="B3" t="s">
        <v>2</v>
      </c>
      <c r="C3">
        <v>3</v>
      </c>
      <c r="D3" t="s">
        <v>19</v>
      </c>
    </row>
    <row r="4" spans="1:4" x14ac:dyDescent="0.3">
      <c r="A4" t="s">
        <v>19</v>
      </c>
      <c r="B4" t="s">
        <v>1</v>
      </c>
      <c r="C4">
        <v>1</v>
      </c>
      <c r="D4" t="s">
        <v>19</v>
      </c>
    </row>
    <row r="5" spans="1:4" x14ac:dyDescent="0.3">
      <c r="A5" t="s">
        <v>23</v>
      </c>
      <c r="B5" t="s">
        <v>66</v>
      </c>
      <c r="C5">
        <v>1</v>
      </c>
      <c r="D5" t="s">
        <v>23</v>
      </c>
    </row>
    <row r="6" spans="1:4" x14ac:dyDescent="0.3">
      <c r="A6" t="s">
        <v>23</v>
      </c>
      <c r="B6" t="s">
        <v>67</v>
      </c>
      <c r="C6">
        <v>1</v>
      </c>
      <c r="D6" t="s">
        <v>23</v>
      </c>
    </row>
    <row r="7" spans="1:4" x14ac:dyDescent="0.3">
      <c r="A7" t="s">
        <v>28</v>
      </c>
      <c r="B7" t="s">
        <v>3</v>
      </c>
      <c r="C7">
        <v>1</v>
      </c>
      <c r="D7" t="s">
        <v>28</v>
      </c>
    </row>
    <row r="8" spans="1:4" x14ac:dyDescent="0.3">
      <c r="A8" t="s">
        <v>28</v>
      </c>
      <c r="B8" t="s">
        <v>68</v>
      </c>
      <c r="C8">
        <v>1</v>
      </c>
      <c r="D8" t="s">
        <v>28</v>
      </c>
    </row>
    <row r="9" spans="1:4" x14ac:dyDescent="0.3">
      <c r="A9" t="s">
        <v>37</v>
      </c>
      <c r="B9" t="s">
        <v>69</v>
      </c>
      <c r="C9">
        <v>4</v>
      </c>
      <c r="D9" t="s">
        <v>37</v>
      </c>
    </row>
    <row r="10" spans="1:4" x14ac:dyDescent="0.3">
      <c r="A10" t="s">
        <v>39</v>
      </c>
      <c r="B10" t="s">
        <v>80</v>
      </c>
      <c r="C10">
        <v>1</v>
      </c>
      <c r="D10" t="s">
        <v>39</v>
      </c>
    </row>
    <row r="11" spans="1:4" x14ac:dyDescent="0.3">
      <c r="A11" t="s">
        <v>39</v>
      </c>
      <c r="B11" t="s">
        <v>81</v>
      </c>
      <c r="C11">
        <v>1</v>
      </c>
      <c r="D11" t="s">
        <v>39</v>
      </c>
    </row>
    <row r="12" spans="1:4" x14ac:dyDescent="0.3">
      <c r="A12" t="s">
        <v>61</v>
      </c>
      <c r="B12" t="s">
        <v>4</v>
      </c>
      <c r="C12">
        <v>1</v>
      </c>
      <c r="D12" t="s">
        <v>61</v>
      </c>
    </row>
    <row r="13" spans="1:4" x14ac:dyDescent="0.3">
      <c r="A13" t="s">
        <v>156</v>
      </c>
      <c r="B13" t="s">
        <v>177</v>
      </c>
      <c r="C13">
        <v>35</v>
      </c>
      <c r="D13" t="str">
        <f>+A13</f>
        <v>CARTERA</v>
      </c>
    </row>
    <row r="14" spans="1:4" x14ac:dyDescent="0.3">
      <c r="A14" t="s">
        <v>162</v>
      </c>
      <c r="B14" t="s">
        <v>178</v>
      </c>
      <c r="D14" t="str">
        <f t="shared" ref="D14:D15" si="0">+A14</f>
        <v>WIFI_EMPRESA</v>
      </c>
    </row>
    <row r="15" spans="1:4" x14ac:dyDescent="0.3">
      <c r="A15" t="s">
        <v>163</v>
      </c>
      <c r="B15" t="s">
        <v>179</v>
      </c>
      <c r="D15" t="str">
        <f t="shared" si="0"/>
        <v>WIFI_INVITADOS</v>
      </c>
    </row>
    <row r="16" spans="1:4" x14ac:dyDescent="0.3">
      <c r="A16" t="s">
        <v>61</v>
      </c>
      <c r="B16" t="s">
        <v>5</v>
      </c>
      <c r="C16">
        <v>1</v>
      </c>
      <c r="D16" t="s">
        <v>61</v>
      </c>
    </row>
    <row r="17" spans="1:4" x14ac:dyDescent="0.3">
      <c r="A17" t="s">
        <v>62</v>
      </c>
      <c r="B17" t="s">
        <v>70</v>
      </c>
      <c r="C17">
        <v>35</v>
      </c>
      <c r="D17" t="s">
        <v>62</v>
      </c>
    </row>
    <row r="25" spans="1:4" ht="28.8" customHeight="1" x14ac:dyDescent="0.3"/>
    <row r="34" ht="28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División interna</vt:lpstr>
      <vt:lpstr>Bitacora de Comandos</vt:lpstr>
      <vt:lpstr>REDES</vt:lpstr>
      <vt:lpstr>TIPO 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tellez</dc:creator>
  <cp:lastModifiedBy>sergio tellez</cp:lastModifiedBy>
  <dcterms:created xsi:type="dcterms:W3CDTF">2026-03-23T20:07:16Z</dcterms:created>
  <dcterms:modified xsi:type="dcterms:W3CDTF">2026-04-10T16:32:47Z</dcterms:modified>
</cp:coreProperties>
</file>